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Contacts\Downloads\"/>
    </mc:Choice>
  </mc:AlternateContent>
  <bookViews>
    <workbookView xWindow="0" yWindow="0" windowWidth="22118" windowHeight="983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D19" i="1" l="1"/>
  <c r="D16" i="1"/>
  <c r="C19" i="1"/>
  <c r="C16" i="1"/>
  <c r="B19" i="1"/>
  <c r="B16" i="1"/>
</calcChain>
</file>

<file path=xl/sharedStrings.xml><?xml version="1.0" encoding="utf-8"?>
<sst xmlns="http://schemas.openxmlformats.org/spreadsheetml/2006/main" count="46" uniqueCount="22">
  <si>
    <t>Order ID</t>
  </si>
  <si>
    <t>Product</t>
  </si>
  <si>
    <t>Region</t>
  </si>
  <si>
    <t>Sales</t>
  </si>
  <si>
    <t>laptop</t>
  </si>
  <si>
    <t>mouse</t>
  </si>
  <si>
    <t>keyboard</t>
  </si>
  <si>
    <t>monitor</t>
  </si>
  <si>
    <t>CPU</t>
  </si>
  <si>
    <t>south</t>
  </si>
  <si>
    <t>north</t>
  </si>
  <si>
    <t>east</t>
  </si>
  <si>
    <t>west</t>
  </si>
  <si>
    <t>Total Sale</t>
  </si>
  <si>
    <t>Average Sale</t>
  </si>
  <si>
    <t>Lowest Sale</t>
  </si>
  <si>
    <t>South Total Sales</t>
  </si>
  <si>
    <t>Category</t>
  </si>
  <si>
    <t>Technology</t>
  </si>
  <si>
    <t>Product Count</t>
  </si>
  <si>
    <t>Top Category</t>
  </si>
  <si>
    <t>Highest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</si>
</sst>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right"/>
    </xf>
    <xf numFmtId="0" fontId="3" fillId="3" borderId="0" xfId="2"/>
    <xf numFmtId="0" fontId="4" fillId="3" borderId="0" xfId="2" applyFont="1" applyAlignment="1">
      <alignment horizontal="center"/>
    </xf>
    <xf numFmtId="0" fontId="4" fillId="3" borderId="0" xfId="2" applyFont="1" applyAlignment="1">
      <alignment horizontal="center" vertical="center"/>
    </xf>
    <xf numFmtId="0" fontId="1" fillId="2" borderId="0" xfId="1" applyAlignment="1">
      <alignment horizont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 Count BY Category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Sheet1!$G$5:$G$6</c:f>
              <c:strCache>
                <c:ptCount val="2"/>
                <c:pt idx="0">
                  <c:v>Top Category</c:v>
                </c:pt>
                <c:pt idx="1">
                  <c:v>Highest Product Count</c:v>
                </c:pt>
              </c:strCache>
            </c:strRef>
          </c:cat>
          <c:val>
            <c:numRef>
              <c:f>Sheet1!$H$5:$H$6</c:f>
              <c:numCache>
                <c:formatCode>General</c:formatCode>
                <c:ptCount val="2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D-48F4-8D6D-8CF5613665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64979727"/>
        <c:axId val="264983471"/>
      </c:barChart>
      <c:catAx>
        <c:axId val="26497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83471"/>
        <c:crosses val="autoZero"/>
        <c:auto val="1"/>
        <c:lblAlgn val="ctr"/>
        <c:lblOffset val="100"/>
        <c:noMultiLvlLbl val="0"/>
      </c:catAx>
      <c:valAx>
        <c:axId val="2649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797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14630</xdr:colOff>
      <xdr:row>0</xdr:row>
      <xdr:rowOff>36576</xdr:rowOff>
    </xdr:from>
    <xdr:to>
      <xdr:col>16</xdr:col>
      <xdr:colOff>80466</xdr:colOff>
      <xdr:row>15</xdr:row>
      <xdr:rowOff>7315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S21" sqref="S21"/>
    </sheetView>
  </sheetViews>
  <sheetFormatPr defaultRowHeight="14.4" x14ac:dyDescent="0.3"/>
  <cols>
    <col min="1" max="1" width="13" customWidth="1"/>
    <col min="2" max="2" width="16.09765625" customWidth="1"/>
    <col min="3" max="3" width="16" customWidth="1"/>
    <col min="4" max="4" width="15.796875" customWidth="1"/>
    <col min="5" max="5" width="15.19921875" customWidth="1"/>
    <col min="7" max="7" width="11.796875" customWidth="1"/>
    <col min="8" max="8" width="12.69921875" customWidth="1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17</v>
      </c>
      <c r="G1" s="7" t="s">
        <v>17</v>
      </c>
      <c r="H1" s="7" t="s">
        <v>19</v>
      </c>
    </row>
    <row r="2" spans="1:8" x14ac:dyDescent="0.3">
      <c r="A2" s="6"/>
      <c r="B2" s="6"/>
      <c r="C2" s="6"/>
      <c r="D2" s="6"/>
      <c r="E2" s="6"/>
    </row>
    <row r="3" spans="1:8" x14ac:dyDescent="0.3">
      <c r="A3" s="4">
        <v>1001</v>
      </c>
      <c r="B3" s="5" t="s">
        <v>4</v>
      </c>
      <c r="C3" s="5" t="s">
        <v>9</v>
      </c>
      <c r="D3" s="4">
        <v>50000</v>
      </c>
      <c r="E3" s="5" t="s">
        <v>18</v>
      </c>
      <c r="G3" s="5" t="s">
        <v>18</v>
      </c>
      <c r="H3">
        <f>COUNTIF(E:E,"Technology")</f>
        <v>10</v>
      </c>
    </row>
    <row r="4" spans="1:8" x14ac:dyDescent="0.3">
      <c r="A4" s="4">
        <v>1002</v>
      </c>
      <c r="B4" s="5" t="s">
        <v>5</v>
      </c>
      <c r="C4" s="5" t="s">
        <v>10</v>
      </c>
      <c r="D4" s="4">
        <v>2000</v>
      </c>
      <c r="E4" s="5" t="s">
        <v>18</v>
      </c>
    </row>
    <row r="5" spans="1:8" x14ac:dyDescent="0.3">
      <c r="A5" s="4">
        <v>1003</v>
      </c>
      <c r="B5" s="5" t="s">
        <v>6</v>
      </c>
      <c r="C5" s="5" t="s">
        <v>11</v>
      </c>
      <c r="D5" s="4">
        <v>3000</v>
      </c>
      <c r="E5" s="5" t="s">
        <v>18</v>
      </c>
      <c r="G5" s="5" t="s">
        <v>20</v>
      </c>
    </row>
    <row r="6" spans="1:8" ht="16.7" customHeight="1" x14ac:dyDescent="0.3">
      <c r="A6" s="4">
        <v>1004</v>
      </c>
      <c r="B6" s="5" t="s">
        <v>7</v>
      </c>
      <c r="C6" s="5" t="s">
        <v>9</v>
      </c>
      <c r="D6" s="4">
        <v>15000</v>
      </c>
      <c r="E6" s="5" t="s">
        <v>18</v>
      </c>
      <c r="G6" s="9" t="s">
        <v>21</v>
      </c>
      <c r="H6">
        <v>10</v>
      </c>
    </row>
    <row r="7" spans="1:8" x14ac:dyDescent="0.3">
      <c r="A7" s="4">
        <v>1005</v>
      </c>
      <c r="B7" s="5" t="s">
        <v>4</v>
      </c>
      <c r="C7" s="5" t="s">
        <v>12</v>
      </c>
      <c r="D7" s="4">
        <v>55000</v>
      </c>
      <c r="E7" s="5" t="s">
        <v>18</v>
      </c>
    </row>
    <row r="8" spans="1:8" x14ac:dyDescent="0.3">
      <c r="A8" s="4">
        <v>1006</v>
      </c>
      <c r="B8" s="5" t="s">
        <v>5</v>
      </c>
      <c r="C8" s="5" t="s">
        <v>10</v>
      </c>
      <c r="D8" s="4">
        <v>2000</v>
      </c>
      <c r="E8" s="5" t="s">
        <v>18</v>
      </c>
    </row>
    <row r="9" spans="1:8" x14ac:dyDescent="0.3">
      <c r="A9" s="4">
        <v>1007</v>
      </c>
      <c r="B9" s="5" t="s">
        <v>8</v>
      </c>
      <c r="C9" s="5" t="s">
        <v>11</v>
      </c>
      <c r="D9" s="4">
        <v>9500</v>
      </c>
      <c r="E9" s="5" t="s">
        <v>18</v>
      </c>
    </row>
    <row r="10" spans="1:8" x14ac:dyDescent="0.3">
      <c r="A10" s="4">
        <v>1008</v>
      </c>
      <c r="B10" s="5" t="s">
        <v>6</v>
      </c>
      <c r="C10" s="5" t="s">
        <v>9</v>
      </c>
      <c r="D10" s="4">
        <v>3000</v>
      </c>
      <c r="E10" s="5" t="s">
        <v>18</v>
      </c>
    </row>
    <row r="11" spans="1:8" x14ac:dyDescent="0.3">
      <c r="A11" s="4">
        <v>1009</v>
      </c>
      <c r="B11" s="5" t="s">
        <v>7</v>
      </c>
      <c r="C11" s="5" t="s">
        <v>12</v>
      </c>
      <c r="D11" s="4">
        <v>15000</v>
      </c>
      <c r="E11" s="5" t="s">
        <v>18</v>
      </c>
    </row>
    <row r="12" spans="1:8" x14ac:dyDescent="0.3">
      <c r="A12" s="4">
        <v>1010</v>
      </c>
      <c r="B12" s="5" t="s">
        <v>8</v>
      </c>
      <c r="C12" s="5" t="s">
        <v>10</v>
      </c>
      <c r="D12" s="4">
        <v>9500</v>
      </c>
      <c r="E12" s="5" t="s">
        <v>18</v>
      </c>
    </row>
    <row r="15" spans="1:8" x14ac:dyDescent="0.3">
      <c r="B15" s="1" t="s">
        <v>13</v>
      </c>
      <c r="C15" s="1" t="s">
        <v>13</v>
      </c>
      <c r="D15" s="1" t="s">
        <v>13</v>
      </c>
    </row>
    <row r="16" spans="1:8" x14ac:dyDescent="0.3">
      <c r="A16" s="2"/>
      <c r="B16" s="3">
        <f>SUM(D3:D12)</f>
        <v>164000</v>
      </c>
      <c r="C16" s="3">
        <f>MAX(D3:D12)</f>
        <v>55000</v>
      </c>
      <c r="D16" t="str">
        <f>IF(D6&gt;=10000,"high sales","low sales")</f>
        <v>high sales</v>
      </c>
    </row>
    <row r="18" spans="2:4" x14ac:dyDescent="0.3">
      <c r="B18" s="1" t="s">
        <v>14</v>
      </c>
      <c r="C18" s="1" t="s">
        <v>15</v>
      </c>
      <c r="D18" s="1" t="s">
        <v>16</v>
      </c>
    </row>
    <row r="19" spans="2:4" x14ac:dyDescent="0.3">
      <c r="B19" s="3">
        <f>AVERAGE(D3:D12)</f>
        <v>16400</v>
      </c>
      <c r="C19" s="3">
        <f>MIN(D2:D12)</f>
        <v>2000</v>
      </c>
      <c r="D19" s="3">
        <f>SUMIF(C3:C12,"south",D3:D12)</f>
        <v>68000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2026-09-13T05:34:19Z</dcterms:created>
  <dcterms:modified xsi:type="dcterms:W3CDTF">2026-09-22T14:57:37Z</dcterms:modified>
</cp:coreProperties>
</file>