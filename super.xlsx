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Contacts\Downloads\"/>
    </mc:Choice>
  </mc:AlternateContent>
  <bookViews>
    <workbookView xWindow="0" yWindow="0" windowWidth="4954" windowHeight="6451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M3" i="1"/>
  <c r="N3" i="1"/>
  <c r="J4" i="1" l="1"/>
  <c r="J3" i="1"/>
  <c r="J2" i="1"/>
</calcChain>
</file>

<file path=xl/sharedStrings.xml><?xml version="1.0" encoding="utf-8"?>
<sst xmlns="http://schemas.openxmlformats.org/spreadsheetml/2006/main" count="82" uniqueCount="50">
  <si>
    <t>Order ID</t>
  </si>
  <si>
    <t>Product</t>
  </si>
  <si>
    <t>Category</t>
  </si>
  <si>
    <t>Sales</t>
  </si>
  <si>
    <t>Quantity</t>
  </si>
  <si>
    <t>Discount</t>
  </si>
  <si>
    <t>Profit</t>
  </si>
  <si>
    <t>ORD001</t>
  </si>
  <si>
    <t>Laptop</t>
  </si>
  <si>
    <t>Technology</t>
  </si>
  <si>
    <t>ORD002</t>
  </si>
  <si>
    <t>Office Chair</t>
  </si>
  <si>
    <t>Furniture</t>
  </si>
  <si>
    <t>ORD003</t>
  </si>
  <si>
    <t>Printer</t>
  </si>
  <si>
    <t>ORD004</t>
  </si>
  <si>
    <t>Notebook</t>
  </si>
  <si>
    <t>Office Supplies</t>
  </si>
  <si>
    <t>ORD005</t>
  </si>
  <si>
    <t>Desk</t>
  </si>
  <si>
    <t>ORD006</t>
  </si>
  <si>
    <t>Keyboard</t>
  </si>
  <si>
    <t>ORD007</t>
  </si>
  <si>
    <t>Pen Set</t>
  </si>
  <si>
    <t>ORD008</t>
  </si>
  <si>
    <t>Monitor</t>
  </si>
  <si>
    <t>ORD009</t>
  </si>
  <si>
    <t>Bookshelf</t>
  </si>
  <si>
    <t>ORD010</t>
  </si>
  <si>
    <t>File Folder</t>
  </si>
  <si>
    <t>ORD011</t>
  </si>
  <si>
    <t>Smartphone</t>
  </si>
  <si>
    <t>ORD012</t>
  </si>
  <si>
    <t>Table</t>
  </si>
  <si>
    <t>ORD013</t>
  </si>
  <si>
    <t>Stapler</t>
  </si>
  <si>
    <t>ORD014</t>
  </si>
  <si>
    <t>Headphones</t>
  </si>
  <si>
    <t>ORD015</t>
  </si>
  <si>
    <t>Cabinet</t>
  </si>
  <si>
    <t>Total Profit</t>
  </si>
  <si>
    <t>Region</t>
  </si>
  <si>
    <t>East</t>
  </si>
  <si>
    <t>West</t>
  </si>
  <si>
    <t>Central</t>
  </si>
  <si>
    <t>South</t>
  </si>
  <si>
    <t>Cell</t>
  </si>
  <si>
    <t>Total Sales</t>
  </si>
  <si>
    <t>Total profit</t>
  </si>
  <si>
    <t>Sales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</si>
</sst>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</cellStyleXfs>
  <cellXfs count="13">
    <xf numFmtId="0" fontId="0" fillId="0" borderId="0" xfId="0"/>
    <xf numFmtId="0" fontId="1" fillId="4" borderId="0" xfId="3"/>
    <xf numFmtId="0" fontId="1" fillId="3" borderId="0" xfId="2" applyAlignment="1">
      <alignment vertical="center" wrapText="1"/>
    </xf>
    <xf numFmtId="0" fontId="1" fillId="3" borderId="0" xfId="2" applyAlignment="1">
      <alignment horizontal="right" vertical="center" wrapText="1"/>
    </xf>
    <xf numFmtId="9" fontId="1" fillId="3" borderId="0" xfId="2" applyNumberFormat="1" applyAlignment="1">
      <alignment horizontal="right" vertical="center" wrapText="1"/>
    </xf>
    <xf numFmtId="0" fontId="3" fillId="2" borderId="1" xfId="1" applyFont="1" applyAlignment="1">
      <alignment horizontal="center" vertical="center" wrapText="1"/>
    </xf>
    <xf numFmtId="0" fontId="3" fillId="2" borderId="1" xfId="1" applyFont="1" applyAlignment="1">
      <alignment horizontal="right" vertical="center" wrapText="1"/>
    </xf>
    <xf numFmtId="0" fontId="3" fillId="2" borderId="1" xfId="1" applyFont="1"/>
    <xf numFmtId="0" fontId="5" fillId="0" borderId="0" xfId="0" applyFont="1" applyAlignment="1">
      <alignment horizontal="center"/>
    </xf>
    <xf numFmtId="0" fontId="3" fillId="2" borderId="1" xfId="1" applyFont="1" applyAlignment="1">
      <alignment horizontal="center"/>
    </xf>
    <xf numFmtId="0" fontId="1" fillId="3" borderId="0" xfId="2"/>
    <xf numFmtId="0" fontId="4" fillId="5" borderId="0" xfId="4"/>
    <xf numFmtId="0" fontId="2" fillId="2" borderId="1" xfId="1"/>
  </cellXfs>
  <cellStyles count="5">
    <cellStyle name="40% - Accent1" xfId="2" builtinId="31"/>
    <cellStyle name="40% - Accent5" xfId="3" builtinId="47"/>
    <cellStyle name="Input" xfId="1" builtinId="20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704444444444444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Sheet1!$L$3:$L$6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Sheet1!$M$3:$M$6</c:f>
              <c:numCache>
                <c:formatCode>General</c:formatCode>
                <c:ptCount val="4"/>
                <c:pt idx="0">
                  <c:v>113800</c:v>
                </c:pt>
                <c:pt idx="1">
                  <c:v>37000</c:v>
                </c:pt>
                <c:pt idx="2">
                  <c:v>100500</c:v>
                </c:pt>
                <c:pt idx="3">
                  <c:v>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A-4061-9DBF-F9EA1653E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36448"/>
        <c:axId val="81040608"/>
      </c:barChart>
      <c:catAx>
        <c:axId val="8103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0608"/>
        <c:crosses val="autoZero"/>
        <c:auto val="1"/>
        <c:lblAlgn val="ctr"/>
        <c:lblOffset val="100"/>
        <c:noMultiLvlLbl val="0"/>
      </c:catAx>
      <c:valAx>
        <c:axId val="8104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Profit Performance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Sheet1!$L$3:$L$6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Sheet1!$N$3:$N$6</c:f>
              <c:numCache>
                <c:formatCode>General</c:formatCode>
                <c:ptCount val="4"/>
                <c:pt idx="0">
                  <c:v>19300</c:v>
                </c:pt>
                <c:pt idx="1">
                  <c:v>8300</c:v>
                </c:pt>
                <c:pt idx="2">
                  <c:v>17300</c:v>
                </c:pt>
                <c:pt idx="3">
                  <c:v>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1-416E-B27C-F2DB9DE05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22608"/>
        <c:axId val="78923024"/>
      </c:barChart>
      <c:catAx>
        <c:axId val="7892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3024"/>
        <c:crosses val="autoZero"/>
        <c:auto val="1"/>
        <c:lblAlgn val="ctr"/>
        <c:lblOffset val="100"/>
        <c:noMultiLvlLbl val="0"/>
      </c:catAx>
      <c:valAx>
        <c:axId val="789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80466</xdr:colOff>
      <xdr:row>16</xdr:row>
      <xdr:rowOff>131673</xdr:rowOff>
    </xdr:from>
    <xdr:to>
      <xdr:col>13</xdr:col>
      <xdr:colOff>234085</xdr:colOff>
      <xdr:row>31</xdr:row>
      <xdr:rowOff>131673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7314</xdr:colOff>
      <xdr:row>16</xdr:row>
      <xdr:rowOff>117042</xdr:rowOff>
    </xdr:from>
    <xdr:to>
      <xdr:col>6</xdr:col>
      <xdr:colOff>504748</xdr:colOff>
      <xdr:row>31</xdr:row>
      <xdr:rowOff>117042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69" workbookViewId="0">
      <selection activeCell="J1" sqref="J1"/>
    </sheetView>
  </sheetViews>
  <sheetFormatPr defaultRowHeight="14.4" x14ac:dyDescent="0.3"/>
  <cols>
    <col min="3" max="3" width="11.69921875" customWidth="1"/>
    <col min="9" max="9" width="12" customWidth="1"/>
    <col min="10" max="10" width="13.19921875" customWidth="1"/>
    <col min="14" max="14" width="10.398437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41</v>
      </c>
      <c r="I1" s="7" t="s">
        <v>2</v>
      </c>
      <c r="J1" s="7" t="s">
        <v>40</v>
      </c>
      <c r="L1" s="8" t="s">
        <v>46</v>
      </c>
    </row>
    <row r="2" spans="1:15" x14ac:dyDescent="0.3">
      <c r="A2" s="2" t="s">
        <v>7</v>
      </c>
      <c r="B2" s="2" t="s">
        <v>8</v>
      </c>
      <c r="C2" s="2" t="s">
        <v>9</v>
      </c>
      <c r="D2" s="3">
        <v>75000</v>
      </c>
      <c r="E2" s="3">
        <v>2</v>
      </c>
      <c r="F2" s="4">
        <v>0.05</v>
      </c>
      <c r="G2" s="3">
        <v>12000</v>
      </c>
      <c r="H2" s="10" t="s">
        <v>42</v>
      </c>
      <c r="I2" s="1" t="s">
        <v>12</v>
      </c>
      <c r="J2" s="1">
        <f>SUMIF($C$2:$C$16,I2,$G$2:$G$16)</f>
        <v>19000</v>
      </c>
      <c r="L2" s="12" t="s">
        <v>41</v>
      </c>
      <c r="M2" s="12" t="s">
        <v>47</v>
      </c>
      <c r="N2" s="12" t="s">
        <v>48</v>
      </c>
      <c r="O2" s="12" t="s">
        <v>49</v>
      </c>
    </row>
    <row r="3" spans="1:15" ht="28.8" x14ac:dyDescent="0.3">
      <c r="A3" s="2" t="s">
        <v>10</v>
      </c>
      <c r="B3" s="2" t="s">
        <v>11</v>
      </c>
      <c r="C3" s="2" t="s">
        <v>12</v>
      </c>
      <c r="D3" s="3">
        <v>18000</v>
      </c>
      <c r="E3" s="3">
        <v>3</v>
      </c>
      <c r="F3" s="4">
        <v>0.1</v>
      </c>
      <c r="G3" s="3">
        <v>3500</v>
      </c>
      <c r="H3" s="10" t="s">
        <v>43</v>
      </c>
      <c r="I3" s="1" t="s">
        <v>17</v>
      </c>
      <c r="J3" s="1">
        <f>SUMIF($C$2:$C$16,I3,$G$2:$G$16)</f>
        <v>3400</v>
      </c>
      <c r="L3" s="11" t="s">
        <v>42</v>
      </c>
      <c r="M3" s="11">
        <f>SUMIF($H$2:$H$16,L3,$D$2:$D$16)</f>
        <v>113800</v>
      </c>
      <c r="N3" s="11">
        <f>SUMIF($H$2:$H$16,L3,$G$2:$G$16)</f>
        <v>19300</v>
      </c>
      <c r="O3" s="11">
        <f>_xlfn.RANK.EQ(M3,$M$3:$M$6,0)</f>
        <v>1</v>
      </c>
    </row>
    <row r="4" spans="1:15" x14ac:dyDescent="0.3">
      <c r="A4" s="2" t="s">
        <v>13</v>
      </c>
      <c r="B4" s="2" t="s">
        <v>14</v>
      </c>
      <c r="C4" s="2" t="s">
        <v>9</v>
      </c>
      <c r="D4" s="3">
        <v>25000</v>
      </c>
      <c r="E4" s="3">
        <v>2</v>
      </c>
      <c r="F4" s="4">
        <v>0.05</v>
      </c>
      <c r="G4" s="3">
        <v>4500</v>
      </c>
      <c r="H4" s="10" t="s">
        <v>44</v>
      </c>
      <c r="I4" s="1" t="s">
        <v>9</v>
      </c>
      <c r="J4" s="1">
        <f>SUMIF($C$2:$C$16,I4,$G$2:$G$16)</f>
        <v>32700</v>
      </c>
      <c r="L4" s="11" t="s">
        <v>43</v>
      </c>
      <c r="M4" s="11">
        <v>37000</v>
      </c>
      <c r="N4" s="11">
        <v>8300</v>
      </c>
      <c r="O4" s="11">
        <v>3</v>
      </c>
    </row>
    <row r="5" spans="1:15" ht="28.8" x14ac:dyDescent="0.3">
      <c r="A5" s="2" t="s">
        <v>15</v>
      </c>
      <c r="B5" s="2" t="s">
        <v>16</v>
      </c>
      <c r="C5" s="2" t="s">
        <v>17</v>
      </c>
      <c r="D5" s="3">
        <v>3000</v>
      </c>
      <c r="E5" s="3">
        <v>10</v>
      </c>
      <c r="F5" s="4">
        <v>0</v>
      </c>
      <c r="G5" s="3">
        <v>900</v>
      </c>
      <c r="H5" s="10" t="s">
        <v>45</v>
      </c>
      <c r="L5" s="11" t="s">
        <v>44</v>
      </c>
      <c r="M5" s="11">
        <v>100500</v>
      </c>
      <c r="N5" s="11">
        <v>17300</v>
      </c>
      <c r="O5" s="11">
        <v>2</v>
      </c>
    </row>
    <row r="6" spans="1:15" x14ac:dyDescent="0.3">
      <c r="A6" s="2" t="s">
        <v>18</v>
      </c>
      <c r="B6" s="2" t="s">
        <v>19</v>
      </c>
      <c r="C6" s="2" t="s">
        <v>12</v>
      </c>
      <c r="D6" s="3">
        <v>22000</v>
      </c>
      <c r="E6" s="3">
        <v>2</v>
      </c>
      <c r="F6" s="4">
        <v>0.08</v>
      </c>
      <c r="G6" s="3">
        <v>4200</v>
      </c>
      <c r="H6" s="10" t="s">
        <v>42</v>
      </c>
      <c r="L6" s="11" t="s">
        <v>45</v>
      </c>
      <c r="M6" s="11">
        <v>53000</v>
      </c>
      <c r="N6" s="11">
        <v>10200</v>
      </c>
      <c r="O6" s="11">
        <v>4</v>
      </c>
    </row>
    <row r="7" spans="1:15" x14ac:dyDescent="0.3">
      <c r="A7" s="2" t="s">
        <v>20</v>
      </c>
      <c r="B7" s="2" t="s">
        <v>21</v>
      </c>
      <c r="C7" s="2" t="s">
        <v>9</v>
      </c>
      <c r="D7" s="3">
        <v>6000</v>
      </c>
      <c r="E7" s="3">
        <v>5</v>
      </c>
      <c r="F7" s="4">
        <v>0.05</v>
      </c>
      <c r="G7" s="3">
        <v>1500</v>
      </c>
      <c r="H7" s="10" t="s">
        <v>43</v>
      </c>
    </row>
    <row r="8" spans="1:15" ht="28.8" x14ac:dyDescent="0.3">
      <c r="A8" s="2" t="s">
        <v>22</v>
      </c>
      <c r="B8" s="2" t="s">
        <v>23</v>
      </c>
      <c r="C8" s="2" t="s">
        <v>17</v>
      </c>
      <c r="D8" s="3">
        <v>2500</v>
      </c>
      <c r="E8" s="3">
        <v>20</v>
      </c>
      <c r="F8" s="4">
        <v>0</v>
      </c>
      <c r="G8" s="3">
        <v>800</v>
      </c>
      <c r="H8" s="10" t="s">
        <v>44</v>
      </c>
    </row>
    <row r="9" spans="1:15" x14ac:dyDescent="0.3">
      <c r="A9" s="2" t="s">
        <v>24</v>
      </c>
      <c r="B9" s="2" t="s">
        <v>25</v>
      </c>
      <c r="C9" s="2" t="s">
        <v>9</v>
      </c>
      <c r="D9" s="3">
        <v>30000</v>
      </c>
      <c r="E9" s="3">
        <v>3</v>
      </c>
      <c r="F9" s="4">
        <v>7.0000000000000007E-2</v>
      </c>
      <c r="G9" s="3">
        <v>5500</v>
      </c>
      <c r="H9" s="10" t="s">
        <v>45</v>
      </c>
    </row>
    <row r="10" spans="1:15" x14ac:dyDescent="0.3">
      <c r="A10" s="2" t="s">
        <v>26</v>
      </c>
      <c r="B10" s="2" t="s">
        <v>27</v>
      </c>
      <c r="C10" s="2" t="s">
        <v>12</v>
      </c>
      <c r="D10" s="3">
        <v>15000</v>
      </c>
      <c r="E10" s="3">
        <v>2</v>
      </c>
      <c r="F10" s="4">
        <v>0.1</v>
      </c>
      <c r="G10" s="3">
        <v>2500</v>
      </c>
      <c r="H10" s="10" t="s">
        <v>42</v>
      </c>
    </row>
    <row r="11" spans="1:15" ht="28.8" x14ac:dyDescent="0.3">
      <c r="A11" s="2" t="s">
        <v>28</v>
      </c>
      <c r="B11" s="2" t="s">
        <v>29</v>
      </c>
      <c r="C11" s="2" t="s">
        <v>17</v>
      </c>
      <c r="D11" s="3">
        <v>4000</v>
      </c>
      <c r="E11" s="3">
        <v>15</v>
      </c>
      <c r="F11" s="4">
        <v>0.05</v>
      </c>
      <c r="G11" s="3">
        <v>1100</v>
      </c>
      <c r="H11" s="10" t="s">
        <v>43</v>
      </c>
    </row>
    <row r="12" spans="1:15" ht="28.8" x14ac:dyDescent="0.3">
      <c r="A12" s="2" t="s">
        <v>30</v>
      </c>
      <c r="B12" s="2" t="s">
        <v>31</v>
      </c>
      <c r="C12" s="2" t="s">
        <v>9</v>
      </c>
      <c r="D12" s="3">
        <v>45000</v>
      </c>
      <c r="E12" s="3">
        <v>2</v>
      </c>
      <c r="F12" s="4">
        <v>0.05</v>
      </c>
      <c r="G12" s="3">
        <v>7000</v>
      </c>
      <c r="H12" s="10" t="s">
        <v>44</v>
      </c>
    </row>
    <row r="13" spans="1:15" x14ac:dyDescent="0.3">
      <c r="A13" s="2" t="s">
        <v>32</v>
      </c>
      <c r="B13" s="2" t="s">
        <v>33</v>
      </c>
      <c r="C13" s="2" t="s">
        <v>12</v>
      </c>
      <c r="D13" s="3">
        <v>20000</v>
      </c>
      <c r="E13" s="3">
        <v>2</v>
      </c>
      <c r="F13" s="4">
        <v>0.08</v>
      </c>
      <c r="G13" s="3">
        <v>3800</v>
      </c>
      <c r="H13" s="10" t="s">
        <v>45</v>
      </c>
    </row>
    <row r="14" spans="1:15" ht="28.8" x14ac:dyDescent="0.3">
      <c r="A14" s="2" t="s">
        <v>34</v>
      </c>
      <c r="B14" s="2" t="s">
        <v>35</v>
      </c>
      <c r="C14" s="2" t="s">
        <v>17</v>
      </c>
      <c r="D14" s="3">
        <v>1800</v>
      </c>
      <c r="E14" s="3">
        <v>10</v>
      </c>
      <c r="F14" s="4">
        <v>0</v>
      </c>
      <c r="G14" s="3">
        <v>600</v>
      </c>
      <c r="H14" s="10" t="s">
        <v>42</v>
      </c>
    </row>
    <row r="15" spans="1:15" ht="28.8" x14ac:dyDescent="0.3">
      <c r="A15" s="2" t="s">
        <v>36</v>
      </c>
      <c r="B15" s="2" t="s">
        <v>37</v>
      </c>
      <c r="C15" s="2" t="s">
        <v>9</v>
      </c>
      <c r="D15" s="3">
        <v>9000</v>
      </c>
      <c r="E15" s="3">
        <v>4</v>
      </c>
      <c r="F15" s="4">
        <v>0.05</v>
      </c>
      <c r="G15" s="3">
        <v>2200</v>
      </c>
      <c r="H15" s="10" t="s">
        <v>43</v>
      </c>
    </row>
    <row r="16" spans="1:15" x14ac:dyDescent="0.3">
      <c r="A16" s="2" t="s">
        <v>38</v>
      </c>
      <c r="B16" s="2" t="s">
        <v>39</v>
      </c>
      <c r="C16" s="2" t="s">
        <v>12</v>
      </c>
      <c r="D16" s="3">
        <v>28000</v>
      </c>
      <c r="E16" s="3">
        <v>2</v>
      </c>
      <c r="F16" s="4">
        <v>0.1</v>
      </c>
      <c r="G16" s="3">
        <v>5000</v>
      </c>
      <c r="H16" s="10" t="s">
        <v>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2026-09-23T15:16:47Z</dcterms:created>
  <dcterms:modified xsi:type="dcterms:W3CDTF">2026-09-25T16:23:05Z</dcterms:modified>
</cp:coreProperties>
</file>